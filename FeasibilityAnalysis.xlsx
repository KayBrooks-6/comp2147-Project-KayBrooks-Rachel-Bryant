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 Intangible benef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<sst xmlns="http://schemas.openxmlformats.org/spreadsheetml/2006/main" count="52" uniqueCount="47">
  <si>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Group Project-  NPV Analysis</t>
  </si>
  <si>
    <t xml:space="preserve">        Student Name: Brooks, Kay 101641010   Bryant, Rachel 100827445                                   </t>
  </si>
  <si>
    <t xml:space="preserve">Benefits</t>
  </si>
  <si>
    <t xml:space="preserve">Year</t>
  </si>
  <si>
    <t xml:space="preserve">TOTAL</t>
  </si>
  <si>
    <t xml:space="preserve">Net Economic Benefit</t>
  </si>
  <si>
    <t xml:space="preserve">Discount Rate  7%(0.07)</t>
  </si>
  <si>
    <t xml:space="preserve">1/(1+rate)**i</t>
  </si>
  <si>
    <r>
      <rPr>
        <sz val="11"/>
        <color theme="1"/>
        <rFont val="Calibri"/>
        <family val="2"/>
        <charset val="1"/>
      </rPr>
      <t xml:space="preserve">Use the builtin formula in Excel </t>
    </r>
    <r>
      <rPr>
        <sz val="11"/>
        <color rgb="FFFF0000"/>
        <rFont val="Calibri"/>
        <family val="2"/>
        <charset val="1"/>
      </rPr>
      <t xml:space="preserve">POWER(number, power)</t>
    </r>
  </si>
  <si>
    <t xml:space="preserve">PV of Benefits</t>
  </si>
  <si>
    <t xml:space="preserve">NPV (Using Excel Builtin formula)</t>
  </si>
  <si>
    <t xml:space="preserve">NPV Benefits(Accumulative PVs)</t>
  </si>
  <si>
    <t xml:space="preserve">Costs</t>
  </si>
  <si>
    <t xml:space="preserve">One Time Costs</t>
  </si>
  <si>
    <t xml:space="preserve">Discount Rate  12% (0.12)</t>
  </si>
  <si>
    <t xml:space="preserve">PV of Costs</t>
  </si>
  <si>
    <t xml:space="preserve">NPV Costs(Accumulative PVs)</t>
  </si>
  <si>
    <t xml:space="preserve">Overall NPV</t>
  </si>
  <si>
    <t xml:space="preserve">Overall ROI (Overall NPV/NPV of all Costs)</t>
  </si>
  <si>
    <t xml:space="preserve">Breakeven Analysis</t>
  </si>
  <si>
    <t xml:space="preserve">Yearly NPV Cash Flow</t>
  </si>
  <si>
    <t xml:space="preserve">Overall NPV Cash Flow</t>
  </si>
  <si>
    <t xml:space="preserve">Breakeven occurs between Year 3 and Year 4</t>
  </si>
  <si>
    <t xml:space="preserve">Use First Year of Positive Cash flow to calculate Break-even Fraction (Yearly NPV cash flow- Overall NPV Cash flow)/Yealry NPV Cash Flow</t>
  </si>
  <si>
    <t xml:space="preserve">Actual Break-even occurred at 3.24 Years</t>
  </si>
  <si>
    <t xml:space="preserve">Category</t>
  </si>
  <si>
    <t xml:space="preserve">ABC Clinic Specific Intangible Benefit</t>
  </si>
  <si>
    <t xml:space="preserve">Competitive Necessity
</t>
  </si>
  <si>
    <t xml:space="preserve">Ensures strict compliance with government privacy regulations by electronically safeguarding patient records. </t>
  </si>
  <si>
    <t xml:space="preserve">More Timely Information
</t>
  </si>
  <si>
    <t xml:space="preserve">Enables real-time Ministry Health Card verification and instant status updates for the triage walk-in queue. </t>
  </si>
  <si>
    <t xml:space="preserve">Better Information Access
</t>
  </si>
  <si>
    <t xml:space="preserve">Gives clinicians instant access to patient medical histories, past treatments, lab results, and specialist notes. </t>
  </si>
  <si>
    <t xml:space="preserve">Clerical Accuracy</t>
  </si>
  <si>
    <t xml:space="preserve">Reduces manual data entry errors at check-in/check-out and accurately logs staff shift hours for payroll. </t>
  </si>
  <si>
    <t xml:space="preserve">Processing Efficiency
</t>
  </si>
  <si>
    <t xml:space="preserve">Speeds up front-desk check-ins, nurse vitals entry, e-prescriptions, and electronic lab/specialist transmissions. </t>
  </si>
  <si>
    <t xml:space="preserve">Improved Work Process
</t>
  </si>
  <si>
    <t xml:space="preserve">Increases patient satisfaction via online booking while boosting staff morale by cutting paper administrative friction. </t>
  </si>
  <si>
    <t xml:space="preserve">Decision Quality</t>
  </si>
  <si>
    <t xml:space="preserve">Enhances doctor diagnosis at point-of-care and ensures rapid follow-up on critical abnormal lab results. </t>
  </si>
  <si>
    <t xml:space="preserve">Resource Control</t>
  </si>
  <si>
    <t xml:space="preserve">Helps clinic managers streamline shift schedules (doctors, nurses, receptionists) and manage queue flow. </t>
  </si>
  <si>
    <t xml:space="preserve">Greener Resource Use</t>
  </si>
  <si>
    <t xml:space="preserve">Minimizes paper reliance by digitizing records, utilizing electronic interfaces, and scanning paper documents. </t>
  </si>
  <si>
    <t xml:space="preserve">Social Responsibility</t>
  </si>
  <si>
    <t xml:space="preserve">Improves GTA community health by delivering efficient primary and urgent triage care for 1,500–2,000 patients weekly.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</si>
</sst>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[RED]&quot;-$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4" tint="-0.2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8"/>
      <name val="Calibri"/>
      <family val="2"/>
      <charset val="1"/>
    </font>
    <font>
      <b val="true"/>
      <sz val="12"/>
      <color rgb="FF00B0F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rgb="FF0070C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2E75B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57240</xdr:colOff>
      <xdr:row>2</xdr:row>
      <xdr:rowOff>285840</xdr:rowOff>
    </xdr:from>
    <xdr:to>
      <xdr:col>9</xdr:col>
      <xdr:colOff>23040</xdr:colOff>
      <xdr:row>4</xdr:row>
      <xdr:rowOff>246240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9488160" y="1076400"/>
          <a:ext cx="1560960" cy="588960"/>
        </a:xfrm>
        <a:prstGeom prst="rect">
          <a:avLst/>
        </a:prstGeom>
        <a:solidFill>
          <a:srgbClr val="EDEDED"/>
        </a:solidFill>
        <a:ln cap="sq" w="88900">
          <a:solidFill>
            <a:srgbClr val="FFFFFF"/>
          </a:solidFill>
          <a:miter/>
        </a:ln>
        <a:effectLst>
          <a:outerShdw algn="tl" blurRad="55080" dir="5400000" dist="18000" rotWithShape="0">
            <a:srgbClr val="000000">
              <a:alpha val="40000"/>
            </a:srgbClr>
          </a:outerShdw>
        </a:effectLst>
        <a:scene3d>
          <a:camera prst="orthographicFront"/>
          <a:lightRig dir="t" rig="twoP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pane xSplit="0" ySplit="1" topLeftCell="A2" activePane="bottomLeft" state="frozen"/>
      <selection pane="topLeft" activeCell="B1" activeCellId="0" sqref="B1"/>
      <selection pane="bottomLeft" activeCell="K6" activeCellId="0" sqref="K6"/>
    </sheetView>
  </sheetViews>
  <sheetFormatPr defaultColWidth="18.00390625" defaultRowHeight="24.75" customHeight="true" zeroHeight="false" outlineLevelRow="0" outlineLevelCol="0"/>
  <cols>
    <col collapsed="false" customWidth="true" hidden="false" outlineLevel="0" max="1" min="1" style="1" width="33.8"/>
    <col collapsed="false" customWidth="true" hidden="false" outlineLevel="0" max="2" min="2" style="1" width="11"/>
    <col collapsed="false" customWidth="true" hidden="false" outlineLevel="0" max="3" min="3" style="1" width="14.73"/>
    <col collapsed="false" customWidth="true" hidden="false" outlineLevel="0" max="4" min="4" style="1" width="15.18"/>
    <col collapsed="false" customWidth="true" hidden="false" outlineLevel="0" max="5" min="5" style="1" width="16.54"/>
    <col collapsed="false" customWidth="true" hidden="false" outlineLevel="0" max="6" min="6" style="1" width="16.82"/>
    <col collapsed="false" customWidth="true" hidden="false" outlineLevel="0" max="7" min="7" style="1" width="12"/>
    <col collapsed="false" customWidth="true" hidden="false" outlineLevel="0" max="8" min="8" style="1" width="13.73"/>
    <col collapsed="false" customWidth="true" hidden="false" outlineLevel="0" max="9" min="9" style="1" width="22.63"/>
  </cols>
  <sheetData>
    <row r="1" s="5" customFormat="true" ht="37.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4"/>
    </row>
    <row r="2" customFormat="false" ht="24.7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7"/>
    </row>
    <row r="3" s="10" customFormat="true" ht="24.75" hidden="false" customHeight="true" outlineLevel="0" collapsed="false">
      <c r="A3" s="8" t="s">
        <v>3</v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10" t="s">
        <v>4</v>
      </c>
      <c r="I3" s="11"/>
    </row>
    <row r="4" customFormat="false" ht="24.75" hidden="false" customHeight="true" outlineLevel="0" collapsed="false">
      <c r="A4" s="12" t="s">
        <v>5</v>
      </c>
      <c r="B4" s="13" t="n">
        <v>0</v>
      </c>
      <c r="C4" s="14" t="n">
        <v>380000</v>
      </c>
      <c r="D4" s="14" t="n">
        <v>420000</v>
      </c>
      <c r="E4" s="14" t="n">
        <v>460000</v>
      </c>
      <c r="F4" s="14" t="n">
        <v>500000</v>
      </c>
      <c r="G4" s="14" t="n">
        <v>540000</v>
      </c>
      <c r="I4" s="7"/>
    </row>
    <row r="5" customFormat="false" ht="24.75" hidden="false" customHeight="true" outlineLevel="0" collapsed="false">
      <c r="A5" s="12" t="s">
        <v>6</v>
      </c>
      <c r="B5" s="13" t="n">
        <v>0.07</v>
      </c>
      <c r="C5" s="13" t="n">
        <v>0.07</v>
      </c>
      <c r="D5" s="13" t="n">
        <v>0.07</v>
      </c>
      <c r="E5" s="13" t="n">
        <v>0.07</v>
      </c>
      <c r="F5" s="13" t="n">
        <v>0.07</v>
      </c>
      <c r="G5" s="13" t="n">
        <v>0.07</v>
      </c>
      <c r="I5" s="7"/>
    </row>
    <row r="6" customFormat="false" ht="24.75" hidden="false" customHeight="true" outlineLevel="0" collapsed="false">
      <c r="A6" s="12" t="s">
        <v>7</v>
      </c>
      <c r="B6" s="13" t="n">
        <v>1</v>
      </c>
      <c r="C6" s="13" t="n">
        <f aca="false">1/(POWER((1+C5),C3))</f>
        <v>0.934579439252336</v>
      </c>
      <c r="D6" s="13" t="n">
        <f aca="false">1/(POWER((1+D5),D3))</f>
        <v>0.873438728273212</v>
      </c>
      <c r="E6" s="13" t="n">
        <f aca="false">1/(POWER((1+E5),E3))</f>
        <v>0.816297876890852</v>
      </c>
      <c r="F6" s="13" t="n">
        <f aca="false">1/(POWER((1+F5),F3))</f>
        <v>0.762895212047525</v>
      </c>
      <c r="G6" s="13" t="n">
        <f aca="false">1/(POWER((1+G5),G3))</f>
        <v>0.712986179483668</v>
      </c>
      <c r="I6" s="7" t="s">
        <v>8</v>
      </c>
    </row>
    <row r="7" customFormat="false" ht="24.75" hidden="false" customHeight="true" outlineLevel="0" collapsed="false">
      <c r="A7" s="15" t="s">
        <v>9</v>
      </c>
      <c r="B7" s="16" t="n">
        <v>0</v>
      </c>
      <c r="C7" s="9" t="n">
        <f aca="false">ROUND(C4*C6,0)</f>
        <v>355140</v>
      </c>
      <c r="D7" s="9" t="n">
        <f aca="false">ROUND(D4*D6,0)</f>
        <v>366844</v>
      </c>
      <c r="E7" s="9" t="n">
        <f aca="false">ROUND(E4*E6,0)</f>
        <v>375497</v>
      </c>
      <c r="F7" s="9" t="n">
        <f aca="false">ROUND(F4*F6,0)</f>
        <v>381448</v>
      </c>
      <c r="G7" s="9" t="n">
        <f aca="false">ROUND(G4*G6,0)</f>
        <v>385013</v>
      </c>
      <c r="I7" s="17" t="s">
        <v>10</v>
      </c>
    </row>
    <row r="8" customFormat="false" ht="24.75" hidden="false" customHeight="true" outlineLevel="0" collapsed="false">
      <c r="A8" s="12" t="s">
        <v>11</v>
      </c>
      <c r="B8" s="13" t="n">
        <v>0</v>
      </c>
      <c r="C8" s="13" t="n">
        <f aca="false">C7</f>
        <v>355140</v>
      </c>
      <c r="D8" s="13" t="n">
        <f aca="false">D7+C8</f>
        <v>721984</v>
      </c>
      <c r="E8" s="13" t="n">
        <f aca="false">E7+D8</f>
        <v>1097481</v>
      </c>
      <c r="F8" s="13" t="n">
        <f aca="false">F7+E8</f>
        <v>1478929</v>
      </c>
      <c r="G8" s="9" t="n">
        <f aca="false">G7+F8</f>
        <v>1863942</v>
      </c>
      <c r="H8" s="18" t="n">
        <f aca="false">SUM(B7:G7)</f>
        <v>1863942</v>
      </c>
      <c r="I8" s="19" t="n">
        <f aca="false">NPV(B5,C4:G4)</f>
        <v>1863941.61910537</v>
      </c>
    </row>
    <row r="9" customFormat="false" ht="24.75" hidden="false" customHeight="true" outlineLevel="0" collapsed="false">
      <c r="A9" s="12"/>
      <c r="I9" s="7"/>
    </row>
    <row r="10" customFormat="false" ht="24.75" hidden="false" customHeight="true" outlineLevel="0" collapsed="false">
      <c r="A10" s="6" t="s">
        <v>12</v>
      </c>
      <c r="B10" s="6"/>
      <c r="C10" s="6"/>
      <c r="D10" s="6"/>
      <c r="E10" s="6"/>
      <c r="F10" s="6"/>
      <c r="G10" s="6"/>
      <c r="H10" s="6"/>
      <c r="I10" s="7"/>
    </row>
    <row r="11" customFormat="false" ht="24.75" hidden="false" customHeight="true" outlineLevel="0" collapsed="false">
      <c r="A11" s="8" t="s">
        <v>3</v>
      </c>
      <c r="B11" s="9" t="n">
        <v>0</v>
      </c>
      <c r="C11" s="9" t="n">
        <v>1</v>
      </c>
      <c r="D11" s="9" t="n">
        <v>2</v>
      </c>
      <c r="E11" s="9" t="n">
        <v>3</v>
      </c>
      <c r="F11" s="9" t="n">
        <v>4</v>
      </c>
      <c r="G11" s="9" t="n">
        <v>5</v>
      </c>
      <c r="H11" s="10" t="s">
        <v>4</v>
      </c>
      <c r="I11" s="7"/>
    </row>
    <row r="12" customFormat="false" ht="24.75" hidden="false" customHeight="true" outlineLevel="0" collapsed="false">
      <c r="A12" s="12" t="s">
        <v>13</v>
      </c>
      <c r="B12" s="14" t="n">
        <v>950000</v>
      </c>
      <c r="C12" s="14" t="n">
        <v>80000</v>
      </c>
      <c r="D12" s="14" t="n">
        <v>85000</v>
      </c>
      <c r="E12" s="14" t="n">
        <v>90000</v>
      </c>
      <c r="F12" s="14" t="n">
        <v>95000</v>
      </c>
      <c r="G12" s="14" t="n">
        <v>100000</v>
      </c>
      <c r="I12" s="7"/>
    </row>
    <row r="13" customFormat="false" ht="24.75" hidden="false" customHeight="true" outlineLevel="0" collapsed="false">
      <c r="A13" s="12" t="s">
        <v>14</v>
      </c>
      <c r="B13" s="13" t="n">
        <v>0.07</v>
      </c>
      <c r="C13" s="13" t="n">
        <v>0.07</v>
      </c>
      <c r="D13" s="13" t="n">
        <v>0.07</v>
      </c>
      <c r="E13" s="13" t="n">
        <v>0.07</v>
      </c>
      <c r="F13" s="13" t="n">
        <v>0.07</v>
      </c>
      <c r="G13" s="13" t="n">
        <v>0.07</v>
      </c>
      <c r="I13" s="7"/>
    </row>
    <row r="14" customFormat="false" ht="24.75" hidden="false" customHeight="true" outlineLevel="0" collapsed="false">
      <c r="A14" s="12" t="s">
        <v>7</v>
      </c>
      <c r="B14" s="13" t="n">
        <v>1</v>
      </c>
      <c r="C14" s="13" t="n">
        <f aca="false">1/(POWER((1+C13),C11))</f>
        <v>0.934579439252336</v>
      </c>
      <c r="D14" s="13" t="n">
        <f aca="false">1/(POWER((1+D13),D11))</f>
        <v>0.873438728273212</v>
      </c>
      <c r="E14" s="13" t="n">
        <f aca="false">1/(POWER((1+E13),E11))</f>
        <v>0.816297876890852</v>
      </c>
      <c r="F14" s="13" t="n">
        <f aca="false">1/(POWER((1+F13),F11))</f>
        <v>0.762895212047525</v>
      </c>
      <c r="G14" s="13" t="n">
        <f aca="false">1/(POWER((1+G13),G11))</f>
        <v>0.712986179483668</v>
      </c>
      <c r="I14" s="7"/>
    </row>
    <row r="15" customFormat="false" ht="24.75" hidden="false" customHeight="true" outlineLevel="0" collapsed="false">
      <c r="A15" s="15" t="s">
        <v>15</v>
      </c>
      <c r="B15" s="9" t="n">
        <f aca="false">ROUND(B12*B14,0)</f>
        <v>950000</v>
      </c>
      <c r="C15" s="9" t="n">
        <f aca="false">ROUND(C12*C14,0)</f>
        <v>74766</v>
      </c>
      <c r="D15" s="9" t="n">
        <f aca="false">ROUND(D12*D14,0)</f>
        <v>74242</v>
      </c>
      <c r="E15" s="9" t="n">
        <f aca="false">ROUND(E12*E14,0)</f>
        <v>73467</v>
      </c>
      <c r="F15" s="9" t="n">
        <f aca="false">ROUND(F12*F14,0)</f>
        <v>72475</v>
      </c>
      <c r="G15" s="9" t="n">
        <f aca="false">ROUND(G12*G14,0)</f>
        <v>71299</v>
      </c>
      <c r="I15" s="7"/>
    </row>
    <row r="16" customFormat="false" ht="24.75" hidden="false" customHeight="true" outlineLevel="0" collapsed="false">
      <c r="A16" s="12" t="s">
        <v>16</v>
      </c>
      <c r="B16" s="13"/>
      <c r="C16" s="13"/>
      <c r="D16" s="13"/>
      <c r="E16" s="13"/>
      <c r="F16" s="13"/>
      <c r="G16" s="13"/>
      <c r="H16" s="18" t="n">
        <f aca="false">SUM(B15:G15)</f>
        <v>1316249</v>
      </c>
      <c r="I16" s="19" t="n">
        <f aca="false">NPV(B13,C12:G12)+B12</f>
        <v>1316249.11905647</v>
      </c>
    </row>
    <row r="17" customFormat="false" ht="24.75" hidden="false" customHeight="true" outlineLevel="0" collapsed="false">
      <c r="A17" s="12"/>
      <c r="I17" s="7"/>
    </row>
    <row r="18" customFormat="false" ht="24.75" hidden="false" customHeight="true" outlineLevel="0" collapsed="false">
      <c r="A18" s="12"/>
      <c r="I18" s="7"/>
    </row>
    <row r="19" customFormat="false" ht="24.75" hidden="false" customHeight="true" outlineLevel="0" collapsed="false">
      <c r="A19" s="8" t="s">
        <v>17</v>
      </c>
      <c r="I19" s="19" t="n">
        <f aca="false">I8-I16</f>
        <v>547692.500048904</v>
      </c>
    </row>
    <row r="20" customFormat="false" ht="24.75" hidden="false" customHeight="true" outlineLevel="0" collapsed="false">
      <c r="A20" s="8" t="s">
        <v>18</v>
      </c>
      <c r="I20" s="20" t="n">
        <f aca="false">ROUND(I19/I16,2)</f>
        <v>0.42</v>
      </c>
    </row>
    <row r="21" customFormat="false" ht="24.75" hidden="false" customHeight="true" outlineLevel="0" collapsed="false">
      <c r="A21" s="12"/>
      <c r="I21" s="7"/>
    </row>
    <row r="22" customFormat="false" ht="24.75" hidden="false" customHeight="true" outlineLevel="0" collapsed="false">
      <c r="A22" s="6" t="s">
        <v>19</v>
      </c>
      <c r="B22" s="6"/>
      <c r="C22" s="6"/>
      <c r="D22" s="6"/>
      <c r="E22" s="6"/>
      <c r="F22" s="6"/>
      <c r="G22" s="6"/>
      <c r="I22" s="7"/>
    </row>
    <row r="23" customFormat="false" ht="24.75" hidden="false" customHeight="true" outlineLevel="0" collapsed="false">
      <c r="A23" s="8" t="s">
        <v>3</v>
      </c>
      <c r="B23" s="9" t="n">
        <v>0</v>
      </c>
      <c r="C23" s="9" t="n">
        <v>1</v>
      </c>
      <c r="D23" s="9" t="n">
        <v>2</v>
      </c>
      <c r="E23" s="9" t="n">
        <v>3</v>
      </c>
      <c r="F23" s="9" t="n">
        <v>4</v>
      </c>
      <c r="G23" s="9" t="n">
        <v>5</v>
      </c>
      <c r="H23" s="10" t="s">
        <v>4</v>
      </c>
      <c r="I23" s="7"/>
    </row>
    <row r="24" customFormat="false" ht="24.75" hidden="false" customHeight="true" outlineLevel="0" collapsed="false">
      <c r="A24" s="21" t="s">
        <v>20</v>
      </c>
      <c r="B24" s="22" t="n">
        <f aca="false">B7-B15</f>
        <v>-950000</v>
      </c>
      <c r="C24" s="22" t="n">
        <f aca="false">C7-C15</f>
        <v>280374</v>
      </c>
      <c r="D24" s="22" t="n">
        <f aca="false">D7-D15</f>
        <v>292602</v>
      </c>
      <c r="E24" s="22" t="n">
        <f aca="false">E7-E15</f>
        <v>302030</v>
      </c>
      <c r="F24" s="22" t="n">
        <f aca="false">F7-F15</f>
        <v>308973</v>
      </c>
      <c r="G24" s="22" t="n">
        <f aca="false">G7-G15</f>
        <v>313714</v>
      </c>
      <c r="I24" s="7"/>
    </row>
    <row r="25" customFormat="false" ht="24.75" hidden="false" customHeight="true" outlineLevel="0" collapsed="false">
      <c r="A25" s="21" t="s">
        <v>21</v>
      </c>
      <c r="B25" s="1" t="n">
        <f aca="false">B8-B16</f>
        <v>0</v>
      </c>
      <c r="C25" s="1" t="n">
        <f aca="false">C8-C16</f>
        <v>355140</v>
      </c>
      <c r="D25" s="1" t="n">
        <f aca="false">D8-D16</f>
        <v>721984</v>
      </c>
      <c r="E25" s="1" t="n">
        <f aca="false">E8-E16</f>
        <v>1097481</v>
      </c>
      <c r="F25" s="1" t="n">
        <f aca="false">F8-F16</f>
        <v>1478929</v>
      </c>
      <c r="G25" s="1" t="n">
        <f aca="false">G8-G16</f>
        <v>1863942</v>
      </c>
      <c r="I25" s="7"/>
    </row>
    <row r="26" customFormat="false" ht="24.75" hidden="false" customHeight="true" outlineLevel="0" collapsed="false">
      <c r="A26" s="8"/>
      <c r="B26" s="10"/>
      <c r="D26" s="23" t="s">
        <v>22</v>
      </c>
      <c r="E26" s="10"/>
      <c r="F26" s="10"/>
      <c r="I26" s="7"/>
    </row>
    <row r="27" customFormat="false" ht="24.75" hidden="false" customHeight="true" outlineLevel="0" collapsed="false">
      <c r="A27" s="24" t="s">
        <v>23</v>
      </c>
      <c r="C27" s="25"/>
      <c r="D27" s="25"/>
      <c r="E27" s="25"/>
      <c r="F27" s="25"/>
      <c r="G27" s="25"/>
      <c r="I27" s="20" t="n">
        <f aca="false">(G24-G25)/G24</f>
        <v>-4.94153273363637</v>
      </c>
    </row>
    <row r="28" customFormat="false" ht="24.75" hidden="false" customHeight="true" outlineLevel="0" collapsed="false">
      <c r="A28" s="26"/>
      <c r="B28" s="27"/>
      <c r="C28" s="27"/>
      <c r="D28" s="28" t="s">
        <v>24</v>
      </c>
      <c r="E28" s="27"/>
      <c r="F28" s="27"/>
      <c r="G28" s="27"/>
      <c r="H28" s="29"/>
      <c r="I28" s="30"/>
    </row>
  </sheetData>
  <mergeCells count="3">
    <mergeCell ref="A2:H2"/>
    <mergeCell ref="A10:H10"/>
    <mergeCell ref="A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7" activeCellId="0" sqref="B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27"/>
    <col collapsed="false" customWidth="true" hidden="false" outlineLevel="0" max="2" min="2" style="1" width="71.96"/>
  </cols>
  <sheetData>
    <row r="1" customFormat="false" ht="13.8" hidden="false" customHeight="false" outlineLevel="0" collapsed="false"/>
    <row r="2" customFormat="false" ht="21" hidden="false" customHeight="true" outlineLevel="0" collapsed="false">
      <c r="A2" s="31" t="s">
        <v>25</v>
      </c>
      <c r="B2" s="31" t="s">
        <v>26</v>
      </c>
    </row>
    <row r="3" customFormat="false" ht="23.85" hidden="false" customHeight="false" outlineLevel="0" collapsed="false">
      <c r="A3" s="32" t="s">
        <v>27</v>
      </c>
      <c r="B3" s="33" t="s">
        <v>28</v>
      </c>
    </row>
    <row r="4" customFormat="false" ht="23.85" hidden="false" customHeight="false" outlineLevel="0" collapsed="false">
      <c r="A4" s="32" t="s">
        <v>29</v>
      </c>
      <c r="B4" s="33" t="s">
        <v>30</v>
      </c>
    </row>
    <row r="5" customFormat="false" ht="23.85" hidden="false" customHeight="false" outlineLevel="0" collapsed="false">
      <c r="A5" s="32" t="s">
        <v>31</v>
      </c>
      <c r="B5" s="33" t="s">
        <v>32</v>
      </c>
    </row>
    <row r="6" customFormat="false" ht="23.85" hidden="false" customHeight="false" outlineLevel="0" collapsed="false">
      <c r="A6" s="32" t="s">
        <v>33</v>
      </c>
      <c r="B6" s="33" t="s">
        <v>34</v>
      </c>
    </row>
    <row r="7" customFormat="false" ht="23.85" hidden="false" customHeight="false" outlineLevel="0" collapsed="false">
      <c r="A7" s="32" t="s">
        <v>35</v>
      </c>
      <c r="B7" s="33" t="s">
        <v>36</v>
      </c>
    </row>
    <row r="8" customFormat="false" ht="23.85" hidden="false" customHeight="false" outlineLevel="0" collapsed="false">
      <c r="A8" s="32" t="s">
        <v>37</v>
      </c>
      <c r="B8" s="33" t="s">
        <v>38</v>
      </c>
    </row>
    <row r="9" customFormat="false" ht="23.85" hidden="false" customHeight="false" outlineLevel="0" collapsed="false">
      <c r="A9" s="32" t="s">
        <v>39</v>
      </c>
      <c r="B9" s="33" t="s">
        <v>40</v>
      </c>
    </row>
    <row r="10" customFormat="false" ht="23.85" hidden="false" customHeight="false" outlineLevel="0" collapsed="false">
      <c r="A10" s="32" t="s">
        <v>41</v>
      </c>
      <c r="B10" s="33" t="s">
        <v>42</v>
      </c>
    </row>
    <row r="11" customFormat="false" ht="23.85" hidden="false" customHeight="false" outlineLevel="0" collapsed="false">
      <c r="A11" s="32" t="s">
        <v>43</v>
      </c>
      <c r="B11" s="33" t="s">
        <v>44</v>
      </c>
    </row>
    <row r="12" customFormat="false" ht="23.85" hidden="false" customHeight="false" outlineLevel="0" collapsed="false">
      <c r="A12" s="32" t="s">
        <v>45</v>
      </c>
      <c r="B12" s="33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2024-08-28T01:55:46Z</dcterms:created>
  <dc:creator>abidranagbc@hotmail.com</dc:creator>
  <dc:description/>
  <dc:language>en-CA</dc:language>
  <cp:lastModifiedBy/>
  <cp:lastPrinted>2026-10-01T14:43:08Z</cp:lastPrinted>
  <dcterms:modified xsi:type="dcterms:W3CDTF">2026-10-09T11:17:42Z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